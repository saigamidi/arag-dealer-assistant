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ID Log" sheetId="1" state="visible" r:id="rId3"/>
    <sheet name="Summary" sheetId="2" state="visible" r:id="rId4"/>
    <sheet name="Guide" sheetId="3" state="visible" r:id="rId5"/>
  </sheets>
  <definedNames>
    <definedName function="false" hidden="true" localSheetId="0" name="_xlnm._FilterDatabase" vbProcedure="false">'RAID Log'!$A$4:$M$42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<sst xmlns="http://schemas.openxmlformats.org/spreadsheetml/2006/main" count="541" uniqueCount="236">
  <si>
    <t xml:space="preserve">ARAG Dealer Support Assistant — RAID Log (Risks, Assumptions, Issues, Dependencies, Open Decisions)</t>
  </si>
  <si>
    <t xml:space="preserve">Live tracker. The PRD records criteria and mitigation design; this log owns owner, status and target stage. Last reviewed: 8 Oct 2026 (v1.0 release review).</t>
  </si>
  <si>
    <t xml:space="preserve">ID</t>
  </si>
  <si>
    <t xml:space="preserve">Type</t>
  </si>
  <si>
    <t xml:space="preserve">Title</t>
  </si>
  <si>
    <t xml:space="preserve">Description</t>
  </si>
  <si>
    <t xml:space="preserve">Impact</t>
  </si>
  <si>
    <t xml:space="preserve">Likelihood</t>
  </si>
  <si>
    <t xml:space="preserve">Severity</t>
  </si>
  <si>
    <t xml:space="preserve">Owner</t>
  </si>
  <si>
    <t xml:space="preserve">Action / mitigation</t>
  </si>
  <si>
    <t xml:space="preserve">Target stage</t>
  </si>
  <si>
    <t xml:space="preserve">Status</t>
  </si>
  <si>
    <t xml:space="preserve">Links</t>
  </si>
  <si>
    <t xml:space="preserve">Last updated</t>
  </si>
  <si>
    <t xml:space="preserve">K1</t>
  </si>
  <si>
    <t xml:space="preserve">Issue</t>
  </si>
  <si>
    <t xml:space="preserve">Scope inference (O03)</t>
  </si>
  <si>
    <t xml:space="preserve">Rule written for two warranty plans applied to a third, with a real citation</t>
  </si>
  <si>
    <t xml:space="preserve">High</t>
  </si>
  <si>
    <t xml:space="preserve">—</t>
  </si>
  <si>
    <t xml:space="preserve">Policy Owner; PM + Eng</t>
  </si>
  <si>
    <t xml:space="preserve">Now: policy owner defines Essential Plus coverage; O03 kept as regression test. v1.1: answerability check + 5–10 scope questions</t>
  </si>
  <si>
    <t xml:space="preserve">Shadow mode</t>
  </si>
  <si>
    <t xml:space="preserve">Open</t>
  </si>
  <si>
    <t xml:space="preserve">D1; OD1; R1</t>
  </si>
  <si>
    <t xml:space="preserve">2026-10-08</t>
  </si>
  <si>
    <t xml:space="preserve">K2</t>
  </si>
  <si>
    <t xml:space="preserve">Stale index</t>
  </si>
  <si>
    <t xml:space="preserve">Documents changed but chunks or embeddings not refreshed (seen with S16)</t>
  </si>
  <si>
    <t xml:space="preserve">Engineering</t>
  </si>
  <si>
    <t xml:space="preserve">Now: startup warning (done). v1.1: automatic re-ingest on change; last-updated date on sources</t>
  </si>
  <si>
    <t xml:space="preserve">Pilot</t>
  </si>
  <si>
    <t xml:space="preserve">In progress</t>
  </si>
  <si>
    <t xml:space="preserve">R3; S16</t>
  </si>
  <si>
    <t xml:space="preserve">K3</t>
  </si>
  <si>
    <t xml:space="preserve">Status flips</t>
  </si>
  <si>
    <t xml:space="preserve">H03 refused and S05 false conflict in some runs; content correct</t>
  </si>
  <si>
    <t xml:space="preserve">Medium</t>
  </si>
  <si>
    <t xml:space="preserve">PM + Support Lead</t>
  </si>
  <si>
    <t xml:space="preserve">Now: sources shown, feedback, weekly review of refusals/conflicts. v1.1: answerability check; repeat runs per prompt change</t>
  </si>
  <si>
    <t xml:space="preserve">R6</t>
  </si>
  <si>
    <t xml:space="preserve">K4</t>
  </si>
  <si>
    <t xml:space="preserve">Citation variance</t>
  </si>
  <si>
    <t xml:space="preserve">Same answer, different supporting passages across runs</t>
  </si>
  <si>
    <t xml:space="preserve">Low</t>
  </si>
  <si>
    <t xml:space="preserve">Product Manager</t>
  </si>
  <si>
    <t xml:space="preserve">Accepted; v1.1 splits decision vs source consistency metrics</t>
  </si>
  <si>
    <t xml:space="preserve">Accepted</t>
  </si>
  <si>
    <t xml:space="preserve">Consistency run</t>
  </si>
  <si>
    <t xml:space="preserve">K5</t>
  </si>
  <si>
    <t xml:space="preserve">Evaluation limits</t>
  </si>
  <si>
    <t xml:space="preserve">Same-model judge (one false fail); small, builder-written test set</t>
  </si>
  <si>
    <t xml:space="preserve">Now: manual review of judged answers. v1.1: independent 100+ question set; different-model judge</t>
  </si>
  <si>
    <t xml:space="preserve">Broad rollout</t>
  </si>
  <si>
    <t xml:space="preserve">S03</t>
  </si>
  <si>
    <t xml:space="preserve">I6</t>
  </si>
  <si>
    <t xml:space="preserve">AWS Bedrock access blocked</t>
  </si>
  <si>
    <t xml:space="preserve">New AWS account blocked from all Bedrock models pending a support review</t>
  </si>
  <si>
    <t xml:space="preserve">Resolved by switching to Azure OpenAI; close AWS support case, deactivate unused key</t>
  </si>
  <si>
    <t xml:space="preserve">Closed</t>
  </si>
  <si>
    <t xml:space="preserve">R5</t>
  </si>
  <si>
    <t xml:space="preserve">R1</t>
  </si>
  <si>
    <t xml:space="preserve">Risk</t>
  </si>
  <si>
    <t xml:space="preserve">Hallucination on unanswerable questions</t>
  </si>
  <si>
    <t xml:space="preserve">Model answers from outside knowledge or over-generalizes</t>
  </si>
  <si>
    <t xml:space="preserve">Grounding prompt, refusal status, code checks on citations; answerability check in v1.1</t>
  </si>
  <si>
    <t xml:space="preserve">Materialized → K1</t>
  </si>
  <si>
    <t xml:space="preserve">PRD Risks; K1; O03</t>
  </si>
  <si>
    <t xml:space="preserve">R2</t>
  </si>
  <si>
    <t xml:space="preserve">Misrouting</t>
  </si>
  <si>
    <t xml:space="preserve">Question sent to the wrong path (e.g. policy question to the API)</t>
  </si>
  <si>
    <t xml:space="preserve">Tiered router; 100% main and held-out; rules fallback; decider logged per question</t>
  </si>
  <si>
    <t xml:space="preserve">Mitigated</t>
  </si>
  <si>
    <t xml:space="preserve">PRD Results; X01–X15</t>
  </si>
  <si>
    <t xml:space="preserve">R3</t>
  </si>
  <si>
    <t xml:space="preserve">Stale knowledge base</t>
  </si>
  <si>
    <t xml:space="preserve">Documents change but chunks or embeddings are not refreshed</t>
  </si>
  <si>
    <t xml:space="preserve">Change detection; startup warning; automatic re-ingest in v1.1</t>
  </si>
  <si>
    <t xml:space="preserve">Materialized → K2</t>
  </si>
  <si>
    <t xml:space="preserve">K2; S16</t>
  </si>
  <si>
    <t xml:space="preserve">R4</t>
  </si>
  <si>
    <t xml:space="preserve">Data sovereignty</t>
  </si>
  <si>
    <t xml:space="preserve">Real dealer data processed outside the UAE</t>
  </si>
  <si>
    <t xml:space="preserve">Security &amp; Compliance</t>
  </si>
  <si>
    <t xml:space="preserve">Synthetic data only in demo; UAE-region hosting and residency review before real data</t>
  </si>
  <si>
    <t xml:space="preserve">D4</t>
  </si>
  <si>
    <t xml:space="preserve">Cloud access or quota restrictions</t>
  </si>
  <si>
    <t xml:space="preserve">Model access blocked or zero quota on new accounts</t>
  </si>
  <si>
    <t xml:space="preserve">Provider-agnostic interface; keyword and rules fallbacks; Pay-As-You-Go with budget alerts</t>
  </si>
  <si>
    <t xml:space="preserve">Materialized → I6 (resolved)</t>
  </si>
  <si>
    <t xml:space="preserve">LLM non-determinism</t>
  </si>
  <si>
    <t xml:space="preserve">Same question gets a different status across runs</t>
  </si>
  <si>
    <t xml:space="preserve">Temperature 0 + seed; repeat-run metric; human review; answerability check v1.1</t>
  </si>
  <si>
    <t xml:space="preserve">Materialized → K3</t>
  </si>
  <si>
    <t xml:space="preserve">R7</t>
  </si>
  <si>
    <t xml:space="preserve">Prompt injection via source documents</t>
  </si>
  <si>
    <t xml:space="preserve">Instructions hidden in documents steer the model</t>
  </si>
  <si>
    <t xml:space="preserve">Passages treated as data in the prompt; ingestion limited to approved documents</t>
  </si>
  <si>
    <t xml:space="preserve">PRD Risks</t>
  </si>
  <si>
    <t xml:space="preserve">R8</t>
  </si>
  <si>
    <t xml:space="preserve">PII exposure in order lookups</t>
  </si>
  <si>
    <t xml:space="preserve">Personal data in answers or logs</t>
  </si>
  <si>
    <t xml:space="preserve">Return only fields agents need; mask personal details in logs</t>
  </si>
  <si>
    <t xml:space="preserve">D3</t>
  </si>
  <si>
    <t xml:space="preserve">R9</t>
  </si>
  <si>
    <t xml:space="preserve">Live API downtime or slow responses</t>
  </si>
  <si>
    <t xml:space="preserve">Inventory or order system unavailable</t>
  </si>
  <si>
    <t xml:space="preserve">5 s timeout and clear fallback; hybrid still answers policy part; tested</t>
  </si>
  <si>
    <t xml:space="preserve">Failure simulator</t>
  </si>
  <si>
    <t xml:space="preserve">R10</t>
  </si>
  <si>
    <t xml:space="preserve">Automation bias</t>
  </si>
  <si>
    <t xml:space="preserve">Agents forward answers without checking</t>
  </si>
  <si>
    <t xml:space="preserve">Support Lead</t>
  </si>
  <si>
    <t xml:space="preserve">Mandatory citations; status badges; shadow mode before live use</t>
  </si>
  <si>
    <t xml:space="preserve">A4</t>
  </si>
  <si>
    <t xml:space="preserve">R11</t>
  </si>
  <si>
    <t xml:space="preserve">Conflicting or outdated source documents</t>
  </si>
  <si>
    <t xml:space="preserve">Policies contradict each other</t>
  </si>
  <si>
    <t xml:space="preserve">Policy Owner</t>
  </si>
  <si>
    <t xml:space="preserve">Conflict status shows both sources; policy owner resolves underlying conflicts</t>
  </si>
  <si>
    <t xml:space="preserve">D2; S10; S16</t>
  </si>
  <si>
    <t xml:space="preserve">R12</t>
  </si>
  <si>
    <t xml:space="preserve">LLM cost growth</t>
  </si>
  <si>
    <t xml:space="preserve">Usage grows faster than budget</t>
  </si>
  <si>
    <t xml:space="preserve">≈$0.0004/answer; no LLM for real-time; tiered routing; budgets and TPM caps</t>
  </si>
  <si>
    <t xml:space="preserve">PRD Results</t>
  </si>
  <si>
    <t xml:space="preserve">R13</t>
  </si>
  <si>
    <t xml:space="preserve">Leaked API key</t>
  </si>
  <si>
    <t xml:space="preserve">Key exposed in code or logs</t>
  </si>
  <si>
    <t xml:space="preserve">Keys only in secrets; budget alert; rotate in minutes</t>
  </si>
  <si>
    <t xml:space="preserve">R14</t>
  </si>
  <si>
    <t xml:space="preserve">Model version retirement</t>
  </si>
  <si>
    <t xml:space="preserve">Cloud provider retires the deployed model version</t>
  </si>
  <si>
    <t xml:space="preserve">Track retirement dates; re-run full evaluation before switching versions</t>
  </si>
  <si>
    <t xml:space="preserve">D1</t>
  </si>
  <si>
    <t xml:space="preserve">Dependency</t>
  </si>
  <si>
    <t xml:space="preserve">Essential Plus coverage definition</t>
  </si>
  <si>
    <t xml:space="preserve">Policy owner documents what the plan covers</t>
  </si>
  <si>
    <t xml:space="preserve">Request raised; blocks K1 content fix</t>
  </si>
  <si>
    <t xml:space="preserve">K1; OD1</t>
  </si>
  <si>
    <t xml:space="preserve">D2</t>
  </si>
  <si>
    <t xml:space="preserve">Return-policy conflicts resolved</t>
  </si>
  <si>
    <t xml:space="preserve">Floor mats and special-order part rules contradict</t>
  </si>
  <si>
    <t xml:space="preserve">Policy owner corrects documents; tests updated</t>
  </si>
  <si>
    <t xml:space="preserve">R11; OD5</t>
  </si>
  <si>
    <t xml:space="preserve">Access to real inventory and order APIs</t>
  </si>
  <si>
    <t xml:space="preserve">Production endpoints, credentials, schemas</t>
  </si>
  <si>
    <t xml:space="preserve">IT / Platform</t>
  </si>
  <si>
    <t xml:space="preserve">Agree integration and test environment</t>
  </si>
  <si>
    <t xml:space="preserve">A3; R8</t>
  </si>
  <si>
    <t xml:space="preserve">UAE-region hosting and residency review</t>
  </si>
  <si>
    <t xml:space="preserve">Required before any real dealer data</t>
  </si>
  <si>
    <t xml:space="preserve">Review and approve hosting region and data handling</t>
  </si>
  <si>
    <t xml:space="preserve">D5</t>
  </si>
  <si>
    <t xml:space="preserve">Support lead for weekly reviews</t>
  </si>
  <si>
    <t xml:space="preserve">Owner for refusal/conflict review in shadow mode</t>
  </si>
  <si>
    <t xml:space="preserve">Nominate reviewer and cadence</t>
  </si>
  <si>
    <t xml:space="preserve">OD1</t>
  </si>
  <si>
    <t xml:space="preserve">Decision</t>
  </si>
  <si>
    <t xml:space="preserve">Who defines Essential Plus coverage?</t>
  </si>
  <si>
    <t xml:space="preserve">Content gap behind K1; model must refuse until defined</t>
  </si>
  <si>
    <t xml:space="preserve">Assign owner and due date</t>
  </si>
  <si>
    <t xml:space="preserve">K1; D1</t>
  </si>
  <si>
    <t xml:space="preserve">OD2</t>
  </si>
  <si>
    <t xml:space="preserve">Does “not listed for a model” mean “not compatible”?</t>
  </si>
  <si>
    <t xml:space="preserve">Determines how compatibility answers are phrased to dealers</t>
  </si>
  <si>
    <t xml:space="preserve">Catalog Owner</t>
  </si>
  <si>
    <t xml:space="preserve">Decide wording; update prompt rule and S17</t>
  </si>
  <si>
    <t xml:space="preserve">S17</t>
  </si>
  <si>
    <t xml:space="preserve">OD3</t>
  </si>
  <si>
    <t xml:space="preserve">Hybrid answer layout</t>
  </si>
  <si>
    <t xml:space="preserve">Show live and policy parts separately or blended</t>
  </si>
  <si>
    <t xml:space="preserve">Decide from shadow-mode feedback</t>
  </si>
  <si>
    <t xml:space="preserve">OD4</t>
  </si>
  <si>
    <t xml:space="preserve">Escalation path for refusals and conflicts</t>
  </si>
  <si>
    <t xml:space="preserve">Agents need a defined next step</t>
  </si>
  <si>
    <t xml:space="preserve">Define path and SLA</t>
  </si>
  <si>
    <t xml:space="preserve">OD5</t>
  </si>
  <si>
    <t xml:space="preserve">Owner and date for resolving audit conflicts</t>
  </si>
  <si>
    <t xml:space="preserve">Floor mats and special-order parts</t>
  </si>
  <si>
    <t xml:space="preserve">OD6</t>
  </si>
  <si>
    <t xml:space="preserve">Knowledge base ownership and update cadence</t>
  </si>
  <si>
    <t xml:space="preserve">Who updates documents, how often</t>
  </si>
  <si>
    <t xml:space="preserve">Agree owners per document domain</t>
  </si>
  <si>
    <t xml:space="preserve">A5</t>
  </si>
  <si>
    <t xml:space="preserve">OD7</t>
  </si>
  <si>
    <t xml:space="preserve">Refusal target: ≥95% with human review</t>
  </si>
  <si>
    <t xml:space="preserve">100% is unrealistic for LLM-only; needs sign-off</t>
  </si>
  <si>
    <t xml:space="preserve">Approve revised target at release review</t>
  </si>
  <si>
    <t xml:space="preserve">PRD Target Decision</t>
  </si>
  <si>
    <t xml:space="preserve">A1</t>
  </si>
  <si>
    <t xml:space="preserve">Assumption</t>
  </si>
  <si>
    <t xml:space="preserve">Baseline volumes</t>
  </si>
  <si>
    <t xml:space="preserve">~400 queries/week, ~6 min handle time are illustrative</t>
  </si>
  <si>
    <t xml:space="preserve">Validate with real support data during shadow mode</t>
  </si>
  <si>
    <t xml:space="preserve">PRD Problem Statement</t>
  </si>
  <si>
    <t xml:space="preserve">A2</t>
  </si>
  <si>
    <t xml:space="preserve">Test set represents agent phrasing</t>
  </si>
  <si>
    <t xml:space="preserve">Questions were written by the builder</t>
  </si>
  <si>
    <t xml:space="preserve">Collect real agent questions in shadow mode; independent test set</t>
  </si>
  <si>
    <t xml:space="preserve">A3</t>
  </si>
  <si>
    <t xml:space="preserve">Mock API matches real systems</t>
  </si>
  <si>
    <t xml:space="preserve">Order IDs (ORD-12345), warehouses and fields mirror production</t>
  </si>
  <si>
    <t xml:space="preserve">Confirm schemas with system owners before pilot</t>
  </si>
  <si>
    <t xml:space="preserve">Agents verify cited sources</t>
  </si>
  <si>
    <t xml:space="preserve">Agents check citations before replying</t>
  </si>
  <si>
    <t xml:space="preserve">Measure in shadow mode; training; status badges</t>
  </si>
  <si>
    <t xml:space="preserve">Knowledge base is authoritative</t>
  </si>
  <si>
    <t xml:space="preserve">Documents are current and have owners</t>
  </si>
  <si>
    <t xml:space="preserve">Assign owners and update cadence (OD6)</t>
  </si>
  <si>
    <t xml:space="preserve">A6</t>
  </si>
  <si>
    <t xml:space="preserve">Cost estimates</t>
  </si>
  <si>
    <t xml:space="preserve">Token prices are list-price estimates</t>
  </si>
  <si>
    <t xml:space="preserve">Reconcile with Azure Cost Management monthly</t>
  </si>
  <si>
    <t xml:space="preserve">RAID summary</t>
  </si>
  <si>
    <t xml:space="preserve">Counts are formulas over the RAID Log tab and update as statuses change.</t>
  </si>
  <si>
    <t xml:space="preserve">Total</t>
  </si>
  <si>
    <t xml:space="preserve">Mitigated / Closed / Accepted</t>
  </si>
  <si>
    <t xml:space="preserve">High severity open</t>
  </si>
  <si>
    <t xml:space="preserve">Note: risks that materialized are tracked as issues (e.g. R1 → K1); their risk row shows “Materialized → K…”, counted as neither open nor closed.</t>
  </si>
  <si>
    <t xml:space="preserve">How to use this log</t>
  </si>
  <si>
    <t xml:space="preserve">ID prefixes</t>
  </si>
  <si>
    <t xml:space="preserve">K = known issue (from evaluation) · I = other issue · R = risk · A = assumption · D = dependency · OD = open decision</t>
  </si>
  <si>
    <t xml:space="preserve">Edit</t>
  </si>
  <si>
    <t xml:space="preserve">Update Owner, Action, Target stage and Status in the RAID Log tab; dropdowns are provided. Change Last updated when you edit a row.</t>
  </si>
  <si>
    <t xml:space="preserve">Status values</t>
  </si>
  <si>
    <t xml:space="preserve">Open · In progress · Mitigated · Closed · Accepted · Materialized → K… (a risk that became an issue)</t>
  </si>
  <si>
    <t xml:space="preserve">Rated by impact on the dealer (wrong information reaching a dealer = High), not by frequency in metrics</t>
  </si>
  <si>
    <t xml:space="preserve">The rollout stage whose release gate requires the item: Shadow mode · Pilot · Broad rollout (see PRD &gt; Release Gates)</t>
  </si>
  <si>
    <t xml:space="preserve">Review cadence</t>
  </si>
  <si>
    <t xml:space="preserve">Weekly during shadow mode and pilot; at every release review</t>
  </si>
  <si>
    <t xml:space="preserve">Example row</t>
  </si>
  <si>
    <t xml:space="preserve">K1 | Issue | Scope inference (O03) | … | Policy Owner; PM + Eng | … | Shadow mode | Open</t>
  </si>
  <si>
    <t xml:space="preserve">Related documents</t>
  </si>
  <si>
    <t xml:space="preserve">PRD (docs/ARAG_Model_PRD.docx) · v1.0 Release Review (docs/ARAG_v1.0_Release_Review.docx)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</si>
</sst>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58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3.85" hidden="false" customHeight="false" outlineLevel="0" collapsed="false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19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</row>
    <row r="6" customFormat="false" ht="23.85" hidden="false" customHeight="false" outlineLevel="0" collapsed="false">
      <c r="A6" s="4" t="s">
        <v>27</v>
      </c>
      <c r="B6" s="5" t="s">
        <v>16</v>
      </c>
      <c r="C6" s="5" t="s">
        <v>28</v>
      </c>
      <c r="D6" s="5" t="s">
        <v>29</v>
      </c>
      <c r="E6" s="5" t="s">
        <v>19</v>
      </c>
      <c r="F6" s="5" t="s">
        <v>20</v>
      </c>
      <c r="G6" s="5" t="s">
        <v>19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  <c r="M6" s="5" t="s">
        <v>26</v>
      </c>
    </row>
    <row r="7" customFormat="false" ht="23.85" hidden="false" customHeight="false" outlineLevel="0" collapsed="false">
      <c r="A7" s="4" t="s">
        <v>35</v>
      </c>
      <c r="B7" s="5" t="s">
        <v>16</v>
      </c>
      <c r="C7" s="5" t="s">
        <v>36</v>
      </c>
      <c r="D7" s="5" t="s">
        <v>37</v>
      </c>
      <c r="E7" s="5" t="s">
        <v>38</v>
      </c>
      <c r="F7" s="5" t="s">
        <v>20</v>
      </c>
      <c r="G7" s="5" t="s">
        <v>38</v>
      </c>
      <c r="H7" s="5" t="s">
        <v>39</v>
      </c>
      <c r="I7" s="5" t="s">
        <v>40</v>
      </c>
      <c r="J7" s="5" t="s">
        <v>32</v>
      </c>
      <c r="K7" s="5" t="s">
        <v>24</v>
      </c>
      <c r="L7" s="5" t="s">
        <v>41</v>
      </c>
      <c r="M7" s="5" t="s">
        <v>26</v>
      </c>
    </row>
    <row r="8" customFormat="false" ht="23.85" hidden="false" customHeight="false" outlineLevel="0" collapsed="false">
      <c r="A8" s="4" t="s">
        <v>42</v>
      </c>
      <c r="B8" s="5" t="s">
        <v>16</v>
      </c>
      <c r="C8" s="5" t="s">
        <v>43</v>
      </c>
      <c r="D8" s="5" t="s">
        <v>44</v>
      </c>
      <c r="E8" s="5" t="s">
        <v>45</v>
      </c>
      <c r="F8" s="5" t="s">
        <v>20</v>
      </c>
      <c r="G8" s="5" t="s">
        <v>45</v>
      </c>
      <c r="H8" s="5" t="s">
        <v>46</v>
      </c>
      <c r="I8" s="5" t="s">
        <v>47</v>
      </c>
      <c r="J8" s="5" t="s">
        <v>32</v>
      </c>
      <c r="K8" s="5" t="s">
        <v>48</v>
      </c>
      <c r="L8" s="5" t="s">
        <v>49</v>
      </c>
      <c r="M8" s="5" t="s">
        <v>26</v>
      </c>
    </row>
    <row r="9" customFormat="false" ht="23.85" hidden="false" customHeight="false" outlineLevel="0" collapsed="false">
      <c r="A9" s="4" t="s">
        <v>50</v>
      </c>
      <c r="B9" s="5" t="s">
        <v>16</v>
      </c>
      <c r="C9" s="5" t="s">
        <v>51</v>
      </c>
      <c r="D9" s="5" t="s">
        <v>52</v>
      </c>
      <c r="E9" s="5" t="s">
        <v>38</v>
      </c>
      <c r="F9" s="5" t="s">
        <v>20</v>
      </c>
      <c r="G9" s="5" t="s">
        <v>38</v>
      </c>
      <c r="H9" s="5" t="s">
        <v>46</v>
      </c>
      <c r="I9" s="5" t="s">
        <v>53</v>
      </c>
      <c r="J9" s="5" t="s">
        <v>54</v>
      </c>
      <c r="K9" s="5" t="s">
        <v>24</v>
      </c>
      <c r="L9" s="5" t="s">
        <v>55</v>
      </c>
      <c r="M9" s="5" t="s">
        <v>26</v>
      </c>
    </row>
    <row r="10" customFormat="false" ht="23.85" hidden="false" customHeight="false" outlineLevel="0" collapsed="false">
      <c r="A10" s="4" t="s">
        <v>56</v>
      </c>
      <c r="B10" s="5" t="s">
        <v>16</v>
      </c>
      <c r="C10" s="5" t="s">
        <v>57</v>
      </c>
      <c r="D10" s="5" t="s">
        <v>58</v>
      </c>
      <c r="E10" s="5" t="s">
        <v>38</v>
      </c>
      <c r="F10" s="5" t="s">
        <v>20</v>
      </c>
      <c r="G10" s="5" t="s">
        <v>45</v>
      </c>
      <c r="H10" s="5" t="s">
        <v>46</v>
      </c>
      <c r="I10" s="5" t="s">
        <v>59</v>
      </c>
      <c r="J10" s="5" t="s">
        <v>23</v>
      </c>
      <c r="K10" s="5" t="s">
        <v>60</v>
      </c>
      <c r="L10" s="5" t="s">
        <v>61</v>
      </c>
      <c r="M10" s="5" t="s">
        <v>26</v>
      </c>
    </row>
    <row r="11" customFormat="false" ht="23.85" hidden="false" customHeight="false" outlineLevel="0" collapsed="false">
      <c r="A11" s="4" t="s">
        <v>62</v>
      </c>
      <c r="B11" s="5" t="s">
        <v>63</v>
      </c>
      <c r="C11" s="5" t="s">
        <v>64</v>
      </c>
      <c r="D11" s="5" t="s">
        <v>65</v>
      </c>
      <c r="E11" s="5" t="s">
        <v>19</v>
      </c>
      <c r="F11" s="5" t="s">
        <v>38</v>
      </c>
      <c r="G11" s="5" t="s">
        <v>19</v>
      </c>
      <c r="H11" s="5" t="s">
        <v>46</v>
      </c>
      <c r="I11" s="5" t="s">
        <v>66</v>
      </c>
      <c r="J11" s="5" t="s">
        <v>32</v>
      </c>
      <c r="K11" s="5" t="s">
        <v>67</v>
      </c>
      <c r="L11" s="5" t="s">
        <v>68</v>
      </c>
      <c r="M11" s="5" t="s">
        <v>26</v>
      </c>
    </row>
    <row r="12" customFormat="false" ht="23.85" hidden="false" customHeight="false" outlineLevel="0" collapsed="false">
      <c r="A12" s="4" t="s">
        <v>69</v>
      </c>
      <c r="B12" s="5" t="s">
        <v>63</v>
      </c>
      <c r="C12" s="5" t="s">
        <v>70</v>
      </c>
      <c r="D12" s="5" t="s">
        <v>71</v>
      </c>
      <c r="E12" s="5" t="s">
        <v>38</v>
      </c>
      <c r="F12" s="5" t="s">
        <v>45</v>
      </c>
      <c r="G12" s="5" t="s">
        <v>38</v>
      </c>
      <c r="H12" s="5" t="s">
        <v>30</v>
      </c>
      <c r="I12" s="5" t="s">
        <v>72</v>
      </c>
      <c r="J12" s="5" t="s">
        <v>23</v>
      </c>
      <c r="K12" s="5" t="s">
        <v>73</v>
      </c>
      <c r="L12" s="5" t="s">
        <v>74</v>
      </c>
      <c r="M12" s="5" t="s">
        <v>26</v>
      </c>
    </row>
    <row r="13" customFormat="false" ht="23.85" hidden="false" customHeight="false" outlineLevel="0" collapsed="false">
      <c r="A13" s="4" t="s">
        <v>75</v>
      </c>
      <c r="B13" s="5" t="s">
        <v>63</v>
      </c>
      <c r="C13" s="5" t="s">
        <v>76</v>
      </c>
      <c r="D13" s="5" t="s">
        <v>77</v>
      </c>
      <c r="E13" s="5" t="s">
        <v>19</v>
      </c>
      <c r="F13" s="5" t="s">
        <v>38</v>
      </c>
      <c r="G13" s="5" t="s">
        <v>19</v>
      </c>
      <c r="H13" s="5" t="s">
        <v>30</v>
      </c>
      <c r="I13" s="5" t="s">
        <v>78</v>
      </c>
      <c r="J13" s="5" t="s">
        <v>32</v>
      </c>
      <c r="K13" s="5" t="s">
        <v>79</v>
      </c>
      <c r="L13" s="5" t="s">
        <v>80</v>
      </c>
      <c r="M13" s="5" t="s">
        <v>26</v>
      </c>
    </row>
    <row r="14" customFormat="false" ht="23.85" hidden="false" customHeight="false" outlineLevel="0" collapsed="false">
      <c r="A14" s="4" t="s">
        <v>81</v>
      </c>
      <c r="B14" s="5" t="s">
        <v>63</v>
      </c>
      <c r="C14" s="5" t="s">
        <v>82</v>
      </c>
      <c r="D14" s="5" t="s">
        <v>83</v>
      </c>
      <c r="E14" s="5" t="s">
        <v>19</v>
      </c>
      <c r="F14" s="5" t="s">
        <v>38</v>
      </c>
      <c r="G14" s="5" t="s">
        <v>19</v>
      </c>
      <c r="H14" s="5" t="s">
        <v>84</v>
      </c>
      <c r="I14" s="5" t="s">
        <v>85</v>
      </c>
      <c r="J14" s="5" t="s">
        <v>32</v>
      </c>
      <c r="K14" s="5" t="s">
        <v>24</v>
      </c>
      <c r="L14" s="5" t="s">
        <v>86</v>
      </c>
      <c r="M14" s="5" t="s">
        <v>26</v>
      </c>
    </row>
    <row r="15" customFormat="false" ht="23.85" hidden="false" customHeight="false" outlineLevel="0" collapsed="false">
      <c r="A15" s="4" t="s">
        <v>61</v>
      </c>
      <c r="B15" s="5" t="s">
        <v>63</v>
      </c>
      <c r="C15" s="5" t="s">
        <v>87</v>
      </c>
      <c r="D15" s="5" t="s">
        <v>88</v>
      </c>
      <c r="E15" s="5" t="s">
        <v>19</v>
      </c>
      <c r="F15" s="5" t="s">
        <v>38</v>
      </c>
      <c r="G15" s="5" t="s">
        <v>38</v>
      </c>
      <c r="H15" s="5" t="s">
        <v>30</v>
      </c>
      <c r="I15" s="5" t="s">
        <v>89</v>
      </c>
      <c r="J15" s="5" t="s">
        <v>23</v>
      </c>
      <c r="K15" s="5" t="s">
        <v>90</v>
      </c>
      <c r="L15" s="5" t="s">
        <v>56</v>
      </c>
      <c r="M15" s="5" t="s">
        <v>26</v>
      </c>
    </row>
    <row r="16" customFormat="false" ht="23.85" hidden="false" customHeight="false" outlineLevel="0" collapsed="false">
      <c r="A16" s="4" t="s">
        <v>41</v>
      </c>
      <c r="B16" s="5" t="s">
        <v>63</v>
      </c>
      <c r="C16" s="5" t="s">
        <v>91</v>
      </c>
      <c r="D16" s="5" t="s">
        <v>92</v>
      </c>
      <c r="E16" s="5" t="s">
        <v>38</v>
      </c>
      <c r="F16" s="5" t="s">
        <v>19</v>
      </c>
      <c r="G16" s="5" t="s">
        <v>38</v>
      </c>
      <c r="H16" s="5" t="s">
        <v>46</v>
      </c>
      <c r="I16" s="5" t="s">
        <v>93</v>
      </c>
      <c r="J16" s="5" t="s">
        <v>32</v>
      </c>
      <c r="K16" s="5" t="s">
        <v>94</v>
      </c>
      <c r="L16" s="5" t="s">
        <v>35</v>
      </c>
      <c r="M16" s="5" t="s">
        <v>26</v>
      </c>
    </row>
    <row r="17" customFormat="false" ht="23.85" hidden="false" customHeight="false" outlineLevel="0" collapsed="false">
      <c r="A17" s="4" t="s">
        <v>95</v>
      </c>
      <c r="B17" s="5" t="s">
        <v>63</v>
      </c>
      <c r="C17" s="5" t="s">
        <v>96</v>
      </c>
      <c r="D17" s="5" t="s">
        <v>97</v>
      </c>
      <c r="E17" s="5" t="s">
        <v>19</v>
      </c>
      <c r="F17" s="5" t="s">
        <v>45</v>
      </c>
      <c r="G17" s="5" t="s">
        <v>38</v>
      </c>
      <c r="H17" s="5" t="s">
        <v>30</v>
      </c>
      <c r="I17" s="5" t="s">
        <v>98</v>
      </c>
      <c r="J17" s="5" t="s">
        <v>32</v>
      </c>
      <c r="K17" s="5" t="s">
        <v>73</v>
      </c>
      <c r="L17" s="5" t="s">
        <v>99</v>
      </c>
      <c r="M17" s="5" t="s">
        <v>26</v>
      </c>
    </row>
    <row r="18" customFormat="false" ht="15" hidden="false" customHeight="false" outlineLevel="0" collapsed="false">
      <c r="A18" s="4" t="s">
        <v>100</v>
      </c>
      <c r="B18" s="5" t="s">
        <v>63</v>
      </c>
      <c r="C18" s="5" t="s">
        <v>101</v>
      </c>
      <c r="D18" s="5" t="s">
        <v>102</v>
      </c>
      <c r="E18" s="5" t="s">
        <v>19</v>
      </c>
      <c r="F18" s="5" t="s">
        <v>45</v>
      </c>
      <c r="G18" s="5" t="s">
        <v>38</v>
      </c>
      <c r="H18" s="5" t="s">
        <v>84</v>
      </c>
      <c r="I18" s="5" t="s">
        <v>103</v>
      </c>
      <c r="J18" s="5" t="s">
        <v>32</v>
      </c>
      <c r="K18" s="5" t="s">
        <v>24</v>
      </c>
      <c r="L18" s="5" t="s">
        <v>104</v>
      </c>
      <c r="M18" s="5" t="s">
        <v>26</v>
      </c>
    </row>
    <row r="19" customFormat="false" ht="23.85" hidden="false" customHeight="false" outlineLevel="0" collapsed="false">
      <c r="A19" s="4" t="s">
        <v>105</v>
      </c>
      <c r="B19" s="5" t="s">
        <v>63</v>
      </c>
      <c r="C19" s="5" t="s">
        <v>106</v>
      </c>
      <c r="D19" s="5" t="s">
        <v>107</v>
      </c>
      <c r="E19" s="5" t="s">
        <v>38</v>
      </c>
      <c r="F19" s="5" t="s">
        <v>38</v>
      </c>
      <c r="G19" s="5" t="s">
        <v>45</v>
      </c>
      <c r="H19" s="5" t="s">
        <v>30</v>
      </c>
      <c r="I19" s="5" t="s">
        <v>108</v>
      </c>
      <c r="J19" s="5" t="s">
        <v>23</v>
      </c>
      <c r="K19" s="5" t="s">
        <v>73</v>
      </c>
      <c r="L19" s="5" t="s">
        <v>109</v>
      </c>
      <c r="M19" s="5" t="s">
        <v>26</v>
      </c>
    </row>
    <row r="20" customFormat="false" ht="15" hidden="false" customHeight="false" outlineLevel="0" collapsed="false">
      <c r="A20" s="4" t="s">
        <v>110</v>
      </c>
      <c r="B20" s="5" t="s">
        <v>63</v>
      </c>
      <c r="C20" s="5" t="s">
        <v>111</v>
      </c>
      <c r="D20" s="5" t="s">
        <v>112</v>
      </c>
      <c r="E20" s="5" t="s">
        <v>19</v>
      </c>
      <c r="F20" s="5" t="s">
        <v>38</v>
      </c>
      <c r="G20" s="5" t="s">
        <v>19</v>
      </c>
      <c r="H20" s="5" t="s">
        <v>113</v>
      </c>
      <c r="I20" s="5" t="s">
        <v>114</v>
      </c>
      <c r="J20" s="5" t="s">
        <v>23</v>
      </c>
      <c r="K20" s="5" t="s">
        <v>73</v>
      </c>
      <c r="L20" s="5" t="s">
        <v>115</v>
      </c>
      <c r="M20" s="5" t="s">
        <v>26</v>
      </c>
    </row>
    <row r="21" customFormat="false" ht="23.85" hidden="false" customHeight="false" outlineLevel="0" collapsed="false">
      <c r="A21" s="4" t="s">
        <v>116</v>
      </c>
      <c r="B21" s="5" t="s">
        <v>63</v>
      </c>
      <c r="C21" s="5" t="s">
        <v>117</v>
      </c>
      <c r="D21" s="5" t="s">
        <v>118</v>
      </c>
      <c r="E21" s="5" t="s">
        <v>38</v>
      </c>
      <c r="F21" s="5" t="s">
        <v>38</v>
      </c>
      <c r="G21" s="5" t="s">
        <v>38</v>
      </c>
      <c r="H21" s="5" t="s">
        <v>119</v>
      </c>
      <c r="I21" s="5" t="s">
        <v>120</v>
      </c>
      <c r="J21" s="5" t="s">
        <v>23</v>
      </c>
      <c r="K21" s="5" t="s">
        <v>24</v>
      </c>
      <c r="L21" s="5" t="s">
        <v>121</v>
      </c>
      <c r="M21" s="5" t="s">
        <v>26</v>
      </c>
    </row>
    <row r="22" customFormat="false" ht="23.85" hidden="false" customHeight="false" outlineLevel="0" collapsed="false">
      <c r="A22" s="4" t="s">
        <v>122</v>
      </c>
      <c r="B22" s="5" t="s">
        <v>63</v>
      </c>
      <c r="C22" s="5" t="s">
        <v>123</v>
      </c>
      <c r="D22" s="5" t="s">
        <v>124</v>
      </c>
      <c r="E22" s="5" t="s">
        <v>45</v>
      </c>
      <c r="F22" s="5" t="s">
        <v>45</v>
      </c>
      <c r="G22" s="5" t="s">
        <v>45</v>
      </c>
      <c r="H22" s="5" t="s">
        <v>46</v>
      </c>
      <c r="I22" s="5" t="s">
        <v>125</v>
      </c>
      <c r="J22" s="5" t="s">
        <v>54</v>
      </c>
      <c r="K22" s="5" t="s">
        <v>73</v>
      </c>
      <c r="L22" s="5" t="s">
        <v>126</v>
      </c>
      <c r="M22" s="5" t="s">
        <v>26</v>
      </c>
    </row>
    <row r="23" customFormat="false" ht="15" hidden="false" customHeight="false" outlineLevel="0" collapsed="false">
      <c r="A23" s="4" t="s">
        <v>127</v>
      </c>
      <c r="B23" s="5" t="s">
        <v>63</v>
      </c>
      <c r="C23" s="5" t="s">
        <v>128</v>
      </c>
      <c r="D23" s="5" t="s">
        <v>129</v>
      </c>
      <c r="E23" s="5" t="s">
        <v>38</v>
      </c>
      <c r="F23" s="5" t="s">
        <v>45</v>
      </c>
      <c r="G23" s="5" t="s">
        <v>45</v>
      </c>
      <c r="H23" s="5" t="s">
        <v>30</v>
      </c>
      <c r="I23" s="5" t="s">
        <v>130</v>
      </c>
      <c r="J23" s="5" t="s">
        <v>23</v>
      </c>
      <c r="K23" s="5" t="s">
        <v>73</v>
      </c>
      <c r="L23" s="5" t="s">
        <v>20</v>
      </c>
      <c r="M23" s="5" t="s">
        <v>26</v>
      </c>
    </row>
    <row r="24" customFormat="false" ht="15" hidden="false" customHeight="false" outlineLevel="0" collapsed="false">
      <c r="A24" s="4" t="s">
        <v>131</v>
      </c>
      <c r="B24" s="5" t="s">
        <v>63</v>
      </c>
      <c r="C24" s="5" t="s">
        <v>132</v>
      </c>
      <c r="D24" s="5" t="s">
        <v>133</v>
      </c>
      <c r="E24" s="5" t="s">
        <v>38</v>
      </c>
      <c r="F24" s="5" t="s">
        <v>38</v>
      </c>
      <c r="G24" s="5" t="s">
        <v>38</v>
      </c>
      <c r="H24" s="5" t="s">
        <v>30</v>
      </c>
      <c r="I24" s="5" t="s">
        <v>134</v>
      </c>
      <c r="J24" s="5" t="s">
        <v>54</v>
      </c>
      <c r="K24" s="5" t="s">
        <v>24</v>
      </c>
      <c r="L24" s="5" t="s">
        <v>20</v>
      </c>
      <c r="M24" s="5" t="s">
        <v>26</v>
      </c>
    </row>
    <row r="25" customFormat="false" ht="15" hidden="false" customHeight="false" outlineLevel="0" collapsed="false">
      <c r="A25" s="4" t="s">
        <v>135</v>
      </c>
      <c r="B25" s="5" t="s">
        <v>136</v>
      </c>
      <c r="C25" s="5" t="s">
        <v>137</v>
      </c>
      <c r="D25" s="5" t="s">
        <v>138</v>
      </c>
      <c r="E25" s="5" t="s">
        <v>19</v>
      </c>
      <c r="F25" s="5" t="s">
        <v>20</v>
      </c>
      <c r="G25" s="5" t="s">
        <v>19</v>
      </c>
      <c r="H25" s="5" t="s">
        <v>119</v>
      </c>
      <c r="I25" s="5" t="s">
        <v>139</v>
      </c>
      <c r="J25" s="5" t="s">
        <v>23</v>
      </c>
      <c r="K25" s="5" t="s">
        <v>24</v>
      </c>
      <c r="L25" s="5" t="s">
        <v>140</v>
      </c>
      <c r="M25" s="5" t="s">
        <v>26</v>
      </c>
    </row>
    <row r="26" customFormat="false" ht="15" hidden="false" customHeight="false" outlineLevel="0" collapsed="false">
      <c r="A26" s="4" t="s">
        <v>141</v>
      </c>
      <c r="B26" s="5" t="s">
        <v>136</v>
      </c>
      <c r="C26" s="5" t="s">
        <v>142</v>
      </c>
      <c r="D26" s="5" t="s">
        <v>143</v>
      </c>
      <c r="E26" s="5" t="s">
        <v>38</v>
      </c>
      <c r="F26" s="5" t="s">
        <v>20</v>
      </c>
      <c r="G26" s="5" t="s">
        <v>38</v>
      </c>
      <c r="H26" s="5" t="s">
        <v>119</v>
      </c>
      <c r="I26" s="5" t="s">
        <v>144</v>
      </c>
      <c r="J26" s="5" t="s">
        <v>32</v>
      </c>
      <c r="K26" s="5" t="s">
        <v>24</v>
      </c>
      <c r="L26" s="5" t="s">
        <v>145</v>
      </c>
      <c r="M26" s="5" t="s">
        <v>26</v>
      </c>
    </row>
    <row r="27" customFormat="false" ht="23.85" hidden="false" customHeight="false" outlineLevel="0" collapsed="false">
      <c r="A27" s="4" t="s">
        <v>104</v>
      </c>
      <c r="B27" s="5" t="s">
        <v>136</v>
      </c>
      <c r="C27" s="5" t="s">
        <v>146</v>
      </c>
      <c r="D27" s="5" t="s">
        <v>147</v>
      </c>
      <c r="E27" s="5" t="s">
        <v>19</v>
      </c>
      <c r="F27" s="5" t="s">
        <v>20</v>
      </c>
      <c r="G27" s="5" t="s">
        <v>19</v>
      </c>
      <c r="H27" s="5" t="s">
        <v>148</v>
      </c>
      <c r="I27" s="5" t="s">
        <v>149</v>
      </c>
      <c r="J27" s="5" t="s">
        <v>32</v>
      </c>
      <c r="K27" s="5" t="s">
        <v>24</v>
      </c>
      <c r="L27" s="5" t="s">
        <v>150</v>
      </c>
      <c r="M27" s="5" t="s">
        <v>26</v>
      </c>
    </row>
    <row r="28" customFormat="false" ht="23.85" hidden="false" customHeight="false" outlineLevel="0" collapsed="false">
      <c r="A28" s="4" t="s">
        <v>86</v>
      </c>
      <c r="B28" s="5" t="s">
        <v>136</v>
      </c>
      <c r="C28" s="5" t="s">
        <v>151</v>
      </c>
      <c r="D28" s="5" t="s">
        <v>152</v>
      </c>
      <c r="E28" s="5" t="s">
        <v>19</v>
      </c>
      <c r="F28" s="5" t="s">
        <v>20</v>
      </c>
      <c r="G28" s="5" t="s">
        <v>19</v>
      </c>
      <c r="H28" s="5" t="s">
        <v>84</v>
      </c>
      <c r="I28" s="5" t="s">
        <v>153</v>
      </c>
      <c r="J28" s="5" t="s">
        <v>32</v>
      </c>
      <c r="K28" s="5" t="s">
        <v>24</v>
      </c>
      <c r="L28" s="5" t="s">
        <v>81</v>
      </c>
      <c r="M28" s="5" t="s">
        <v>26</v>
      </c>
    </row>
    <row r="29" customFormat="false" ht="15" hidden="false" customHeight="false" outlineLevel="0" collapsed="false">
      <c r="A29" s="4" t="s">
        <v>154</v>
      </c>
      <c r="B29" s="5" t="s">
        <v>136</v>
      </c>
      <c r="C29" s="5" t="s">
        <v>155</v>
      </c>
      <c r="D29" s="5" t="s">
        <v>156</v>
      </c>
      <c r="E29" s="5" t="s">
        <v>38</v>
      </c>
      <c r="F29" s="5" t="s">
        <v>20</v>
      </c>
      <c r="G29" s="5" t="s">
        <v>38</v>
      </c>
      <c r="H29" s="5" t="s">
        <v>113</v>
      </c>
      <c r="I29" s="5" t="s">
        <v>157</v>
      </c>
      <c r="J29" s="5" t="s">
        <v>23</v>
      </c>
      <c r="K29" s="5" t="s">
        <v>24</v>
      </c>
      <c r="L29" s="5" t="s">
        <v>35</v>
      </c>
      <c r="M29" s="5" t="s">
        <v>26</v>
      </c>
    </row>
    <row r="30" customFormat="false" ht="23.85" hidden="false" customHeight="false" outlineLevel="0" collapsed="false">
      <c r="A30" s="4" t="s">
        <v>158</v>
      </c>
      <c r="B30" s="5" t="s">
        <v>159</v>
      </c>
      <c r="C30" s="5" t="s">
        <v>160</v>
      </c>
      <c r="D30" s="5" t="s">
        <v>161</v>
      </c>
      <c r="E30" s="5" t="s">
        <v>19</v>
      </c>
      <c r="F30" s="5" t="s">
        <v>20</v>
      </c>
      <c r="G30" s="5" t="s">
        <v>19</v>
      </c>
      <c r="H30" s="5" t="s">
        <v>119</v>
      </c>
      <c r="I30" s="5" t="s">
        <v>162</v>
      </c>
      <c r="J30" s="5" t="s">
        <v>23</v>
      </c>
      <c r="K30" s="5" t="s">
        <v>24</v>
      </c>
      <c r="L30" s="5" t="s">
        <v>163</v>
      </c>
      <c r="M30" s="5" t="s">
        <v>26</v>
      </c>
    </row>
    <row r="31" customFormat="false" ht="23.85" hidden="false" customHeight="false" outlineLevel="0" collapsed="false">
      <c r="A31" s="4" t="s">
        <v>164</v>
      </c>
      <c r="B31" s="5" t="s">
        <v>159</v>
      </c>
      <c r="C31" s="5" t="s">
        <v>165</v>
      </c>
      <c r="D31" s="5" t="s">
        <v>166</v>
      </c>
      <c r="E31" s="5" t="s">
        <v>38</v>
      </c>
      <c r="F31" s="5" t="s">
        <v>20</v>
      </c>
      <c r="G31" s="5" t="s">
        <v>38</v>
      </c>
      <c r="H31" s="5" t="s">
        <v>167</v>
      </c>
      <c r="I31" s="5" t="s">
        <v>168</v>
      </c>
      <c r="J31" s="5" t="s">
        <v>32</v>
      </c>
      <c r="K31" s="5" t="s">
        <v>24</v>
      </c>
      <c r="L31" s="5" t="s">
        <v>169</v>
      </c>
      <c r="M31" s="5" t="s">
        <v>26</v>
      </c>
    </row>
    <row r="32" customFormat="false" ht="15" hidden="false" customHeight="false" outlineLevel="0" collapsed="false">
      <c r="A32" s="4" t="s">
        <v>170</v>
      </c>
      <c r="B32" s="5" t="s">
        <v>159</v>
      </c>
      <c r="C32" s="5" t="s">
        <v>171</v>
      </c>
      <c r="D32" s="5" t="s">
        <v>172</v>
      </c>
      <c r="E32" s="5" t="s">
        <v>45</v>
      </c>
      <c r="F32" s="5" t="s">
        <v>20</v>
      </c>
      <c r="G32" s="5" t="s">
        <v>45</v>
      </c>
      <c r="H32" s="5" t="s">
        <v>46</v>
      </c>
      <c r="I32" s="5" t="s">
        <v>173</v>
      </c>
      <c r="J32" s="5" t="s">
        <v>32</v>
      </c>
      <c r="K32" s="5" t="s">
        <v>24</v>
      </c>
      <c r="L32" s="5" t="s">
        <v>20</v>
      </c>
      <c r="M32" s="5" t="s">
        <v>26</v>
      </c>
    </row>
    <row r="33" customFormat="false" ht="23.85" hidden="false" customHeight="false" outlineLevel="0" collapsed="false">
      <c r="A33" s="4" t="s">
        <v>174</v>
      </c>
      <c r="B33" s="5" t="s">
        <v>159</v>
      </c>
      <c r="C33" s="5" t="s">
        <v>175</v>
      </c>
      <c r="D33" s="5" t="s">
        <v>176</v>
      </c>
      <c r="E33" s="5" t="s">
        <v>38</v>
      </c>
      <c r="F33" s="5" t="s">
        <v>20</v>
      </c>
      <c r="G33" s="5" t="s">
        <v>38</v>
      </c>
      <c r="H33" s="5" t="s">
        <v>113</v>
      </c>
      <c r="I33" s="5" t="s">
        <v>177</v>
      </c>
      <c r="J33" s="5" t="s">
        <v>23</v>
      </c>
      <c r="K33" s="5" t="s">
        <v>24</v>
      </c>
      <c r="L33" s="5" t="s">
        <v>35</v>
      </c>
      <c r="M33" s="5" t="s">
        <v>26</v>
      </c>
    </row>
    <row r="34" customFormat="false" ht="23.85" hidden="false" customHeight="false" outlineLevel="0" collapsed="false">
      <c r="A34" s="4" t="s">
        <v>178</v>
      </c>
      <c r="B34" s="5" t="s">
        <v>159</v>
      </c>
      <c r="C34" s="5" t="s">
        <v>179</v>
      </c>
      <c r="D34" s="5" t="s">
        <v>180</v>
      </c>
      <c r="E34" s="5" t="s">
        <v>38</v>
      </c>
      <c r="F34" s="5" t="s">
        <v>20</v>
      </c>
      <c r="G34" s="5" t="s">
        <v>38</v>
      </c>
      <c r="H34" s="5" t="s">
        <v>119</v>
      </c>
      <c r="I34" s="5" t="s">
        <v>162</v>
      </c>
      <c r="J34" s="5" t="s">
        <v>32</v>
      </c>
      <c r="K34" s="5" t="s">
        <v>24</v>
      </c>
      <c r="L34" s="5" t="s">
        <v>141</v>
      </c>
      <c r="M34" s="5" t="s">
        <v>26</v>
      </c>
    </row>
    <row r="35" customFormat="false" ht="23.85" hidden="false" customHeight="false" outlineLevel="0" collapsed="false">
      <c r="A35" s="4" t="s">
        <v>181</v>
      </c>
      <c r="B35" s="5" t="s">
        <v>159</v>
      </c>
      <c r="C35" s="5" t="s">
        <v>182</v>
      </c>
      <c r="D35" s="5" t="s">
        <v>183</v>
      </c>
      <c r="E35" s="5" t="s">
        <v>19</v>
      </c>
      <c r="F35" s="5" t="s">
        <v>20</v>
      </c>
      <c r="G35" s="5" t="s">
        <v>19</v>
      </c>
      <c r="H35" s="5" t="s">
        <v>46</v>
      </c>
      <c r="I35" s="5" t="s">
        <v>184</v>
      </c>
      <c r="J35" s="5" t="s">
        <v>23</v>
      </c>
      <c r="K35" s="5" t="s">
        <v>24</v>
      </c>
      <c r="L35" s="5" t="s">
        <v>185</v>
      </c>
      <c r="M35" s="5" t="s">
        <v>26</v>
      </c>
    </row>
    <row r="36" customFormat="false" ht="23.85" hidden="false" customHeight="false" outlineLevel="0" collapsed="false">
      <c r="A36" s="4" t="s">
        <v>186</v>
      </c>
      <c r="B36" s="5" t="s">
        <v>159</v>
      </c>
      <c r="C36" s="5" t="s">
        <v>187</v>
      </c>
      <c r="D36" s="5" t="s">
        <v>188</v>
      </c>
      <c r="E36" s="5" t="s">
        <v>38</v>
      </c>
      <c r="F36" s="5" t="s">
        <v>20</v>
      </c>
      <c r="G36" s="5" t="s">
        <v>38</v>
      </c>
      <c r="H36" s="5" t="s">
        <v>46</v>
      </c>
      <c r="I36" s="5" t="s">
        <v>189</v>
      </c>
      <c r="J36" s="5" t="s">
        <v>23</v>
      </c>
      <c r="K36" s="5" t="s">
        <v>24</v>
      </c>
      <c r="L36" s="5" t="s">
        <v>190</v>
      </c>
      <c r="M36" s="5" t="s">
        <v>26</v>
      </c>
    </row>
    <row r="37" customFormat="false" ht="23.85" hidden="false" customHeight="false" outlineLevel="0" collapsed="false">
      <c r="A37" s="4" t="s">
        <v>191</v>
      </c>
      <c r="B37" s="5" t="s">
        <v>192</v>
      </c>
      <c r="C37" s="5" t="s">
        <v>193</v>
      </c>
      <c r="D37" s="5" t="s">
        <v>194</v>
      </c>
      <c r="E37" s="5" t="s">
        <v>38</v>
      </c>
      <c r="F37" s="5" t="s">
        <v>20</v>
      </c>
      <c r="G37" s="5" t="s">
        <v>38</v>
      </c>
      <c r="H37" s="5" t="s">
        <v>46</v>
      </c>
      <c r="I37" s="5" t="s">
        <v>195</v>
      </c>
      <c r="J37" s="5" t="s">
        <v>23</v>
      </c>
      <c r="K37" s="5" t="s">
        <v>24</v>
      </c>
      <c r="L37" s="5" t="s">
        <v>196</v>
      </c>
      <c r="M37" s="5" t="s">
        <v>26</v>
      </c>
    </row>
    <row r="38" customFormat="false" ht="15" hidden="false" customHeight="false" outlineLevel="0" collapsed="false">
      <c r="A38" s="4" t="s">
        <v>197</v>
      </c>
      <c r="B38" s="5" t="s">
        <v>192</v>
      </c>
      <c r="C38" s="5" t="s">
        <v>198</v>
      </c>
      <c r="D38" s="5" t="s">
        <v>199</v>
      </c>
      <c r="E38" s="5" t="s">
        <v>38</v>
      </c>
      <c r="F38" s="5" t="s">
        <v>20</v>
      </c>
      <c r="G38" s="5" t="s">
        <v>38</v>
      </c>
      <c r="H38" s="5" t="s">
        <v>46</v>
      </c>
      <c r="I38" s="5" t="s">
        <v>200</v>
      </c>
      <c r="J38" s="5" t="s">
        <v>32</v>
      </c>
      <c r="K38" s="5" t="s">
        <v>24</v>
      </c>
      <c r="L38" s="5" t="s">
        <v>50</v>
      </c>
      <c r="M38" s="5" t="s">
        <v>26</v>
      </c>
    </row>
    <row r="39" customFormat="false" ht="23.85" hidden="false" customHeight="false" outlineLevel="0" collapsed="false">
      <c r="A39" s="4" t="s">
        <v>201</v>
      </c>
      <c r="B39" s="5" t="s">
        <v>192</v>
      </c>
      <c r="C39" s="5" t="s">
        <v>202</v>
      </c>
      <c r="D39" s="5" t="s">
        <v>203</v>
      </c>
      <c r="E39" s="5" t="s">
        <v>38</v>
      </c>
      <c r="F39" s="5" t="s">
        <v>20</v>
      </c>
      <c r="G39" s="5" t="s">
        <v>38</v>
      </c>
      <c r="H39" s="5" t="s">
        <v>30</v>
      </c>
      <c r="I39" s="5" t="s">
        <v>204</v>
      </c>
      <c r="J39" s="5" t="s">
        <v>32</v>
      </c>
      <c r="K39" s="5" t="s">
        <v>24</v>
      </c>
      <c r="L39" s="5" t="s">
        <v>104</v>
      </c>
      <c r="M39" s="5" t="s">
        <v>26</v>
      </c>
    </row>
    <row r="40" customFormat="false" ht="15" hidden="false" customHeight="false" outlineLevel="0" collapsed="false">
      <c r="A40" s="4" t="s">
        <v>115</v>
      </c>
      <c r="B40" s="5" t="s">
        <v>192</v>
      </c>
      <c r="C40" s="5" t="s">
        <v>205</v>
      </c>
      <c r="D40" s="5" t="s">
        <v>206</v>
      </c>
      <c r="E40" s="5" t="s">
        <v>19</v>
      </c>
      <c r="F40" s="5" t="s">
        <v>20</v>
      </c>
      <c r="G40" s="5" t="s">
        <v>19</v>
      </c>
      <c r="H40" s="5" t="s">
        <v>113</v>
      </c>
      <c r="I40" s="5" t="s">
        <v>207</v>
      </c>
      <c r="J40" s="5" t="s">
        <v>23</v>
      </c>
      <c r="K40" s="5" t="s">
        <v>24</v>
      </c>
      <c r="L40" s="5" t="s">
        <v>110</v>
      </c>
      <c r="M40" s="5" t="s">
        <v>26</v>
      </c>
    </row>
    <row r="41" customFormat="false" ht="15" hidden="false" customHeight="false" outlineLevel="0" collapsed="false">
      <c r="A41" s="4" t="s">
        <v>185</v>
      </c>
      <c r="B41" s="5" t="s">
        <v>192</v>
      </c>
      <c r="C41" s="5" t="s">
        <v>208</v>
      </c>
      <c r="D41" s="5" t="s">
        <v>209</v>
      </c>
      <c r="E41" s="5" t="s">
        <v>19</v>
      </c>
      <c r="F41" s="5" t="s">
        <v>20</v>
      </c>
      <c r="G41" s="5" t="s">
        <v>19</v>
      </c>
      <c r="H41" s="5" t="s">
        <v>119</v>
      </c>
      <c r="I41" s="5" t="s">
        <v>210</v>
      </c>
      <c r="J41" s="5" t="s">
        <v>23</v>
      </c>
      <c r="K41" s="5" t="s">
        <v>24</v>
      </c>
      <c r="L41" s="5" t="s">
        <v>181</v>
      </c>
      <c r="M41" s="5" t="s">
        <v>26</v>
      </c>
    </row>
    <row r="42" customFormat="false" ht="15" hidden="false" customHeight="false" outlineLevel="0" collapsed="false">
      <c r="A42" s="4" t="s">
        <v>211</v>
      </c>
      <c r="B42" s="5" t="s">
        <v>192</v>
      </c>
      <c r="C42" s="5" t="s">
        <v>212</v>
      </c>
      <c r="D42" s="5" t="s">
        <v>213</v>
      </c>
      <c r="E42" s="5" t="s">
        <v>45</v>
      </c>
      <c r="F42" s="5" t="s">
        <v>20</v>
      </c>
      <c r="G42" s="5" t="s">
        <v>45</v>
      </c>
      <c r="H42" s="5" t="s">
        <v>46</v>
      </c>
      <c r="I42" s="5" t="s">
        <v>214</v>
      </c>
      <c r="J42" s="5" t="s">
        <v>32</v>
      </c>
      <c r="K42" s="5" t="s">
        <v>24</v>
      </c>
      <c r="L42" s="5" t="s">
        <v>122</v>
      </c>
      <c r="M42" s="5" t="s">
        <v>26</v>
      </c>
    </row>
  </sheetData>
  <autoFilter ref="A4:M42"/>
  <conditionalFormatting sqref="G5:G92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K5:K92">
    <cfRule type="expression" priority="5" aboveAverage="0" equalAverage="0" bottom="0" percent="0" rank="0" text="" dxfId="8">
      <formula>OR(K5="Closed",K5="Mitigated")</formula>
    </cfRule>
    <cfRule type="expression" priority="6" aboveAverage="0" equalAverage="0" bottom="0" percent="0" rank="0" text="" dxfId="7">
      <formula>LEFT(K5,4)="Open"</formula>
    </cfRule>
  </conditionalFormatting>
  <dataValidations count="5">
    <dataValidation allowBlank="true" errorStyle="stop" operator="between" showDropDown="false" showErrorMessage="false" showInputMessage="false" sqref="B5:B92" type="list">
      <formula1>"Risk,Assumption,Issue,Dependency,Decision"</formula1>
      <formula2>0</formula2>
    </dataValidation>
    <dataValidation allowBlank="true" errorStyle="stop" operator="between" showDropDown="false" showErrorMessage="false" showInputMessage="false" sqref="E5:E92" type="list">
      <formula1>"High,Medium,Low"</formula1>
      <formula2>0</formula2>
    </dataValidation>
    <dataValidation allowBlank="true" errorStyle="stop" operator="between" showDropDown="false" showErrorMessage="false" showInputMessage="false" sqref="F5:F92" type="list">
      <formula1>"High,Medium,Low,—"</formula1>
      <formula2>0</formula2>
    </dataValidation>
    <dataValidation allowBlank="true" errorStyle="stop" operator="between" showDropDown="false" showErrorMessage="false" showInputMessage="false" sqref="G5:G92" type="list">
      <formula1>"High,Medium,Low"</formula1>
      <formula2>0</formula2>
    </dataValidation>
    <dataValidation allowBlank="true" errorStyle="stop" operator="between" showDropDown="false" showErrorMessage="false" showInputMessage="false" sqref="J5:J92" type="list">
      <formula1>"Shadow mode,Pilot,Broad rollout"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39.55" hidden="false" customHeight="false" outlineLevel="0" collapsed="false">
      <c r="A4" s="3" t="s">
        <v>3</v>
      </c>
      <c r="B4" s="3" t="s">
        <v>217</v>
      </c>
      <c r="C4" s="3" t="s">
        <v>24</v>
      </c>
      <c r="D4" s="3" t="s">
        <v>33</v>
      </c>
      <c r="E4" s="3" t="s">
        <v>218</v>
      </c>
      <c r="F4" s="3" t="s">
        <v>219</v>
      </c>
    </row>
    <row r="5" customFormat="false" ht="15" hidden="false" customHeight="false" outlineLevel="0" collapsed="false">
      <c r="A5" s="6" t="s">
        <v>16</v>
      </c>
      <c r="B5" s="6" t="n">
        <f aca="false">COUNTIF('RAID Log'!$B$5:$B$92,A5)</f>
        <v>6</v>
      </c>
      <c r="C5" s="6" t="n">
        <f aca="false">COUNTIFS('RAID Log'!$B$5:$B$92,A5,'RAID Log'!$K$5:$K$92,"Open*")</f>
        <v>3</v>
      </c>
      <c r="D5" s="6" t="n">
        <f aca="false">COUNTIFS('RAID Log'!$B$5:$B$92,A5,'RAID Log'!$K$5:$K$92,"In progress*")</f>
        <v>1</v>
      </c>
      <c r="E5" s="6" t="n">
        <f aca="false">COUNTIFS('RAID Log'!$B$5:$B$92,A5,'RAID Log'!$K$5:$K$92,"Mitigated*")+COUNTIFS('RAID Log'!$B$5:$B$92,A5,'RAID Log'!$K$5:$K$92,"Closed*")+COUNTIFS('RAID Log'!$B$5:$B$92,A5,'RAID Log'!$K$5:$K$92,"Accepted*")</f>
        <v>2</v>
      </c>
      <c r="F5" s="6" t="n">
        <f aca="false">COUNTIFS('RAID Log'!$B$5:$B$92,A5,'RAID Log'!$K$5:$K$92,"Open*",'RAID Log'!$G$5:$G$92,"High")</f>
        <v>1</v>
      </c>
    </row>
    <row r="6" customFormat="false" ht="15" hidden="false" customHeight="false" outlineLevel="0" collapsed="false">
      <c r="A6" s="6" t="s">
        <v>63</v>
      </c>
      <c r="B6" s="6" t="n">
        <f aca="false">COUNTIF('RAID Log'!$B$5:$B$92,A6)</f>
        <v>14</v>
      </c>
      <c r="C6" s="6" t="n">
        <f aca="false">COUNTIFS('RAID Log'!$B$5:$B$92,A6,'RAID Log'!$K$5:$K$92,"Open*")</f>
        <v>4</v>
      </c>
      <c r="D6" s="6" t="n">
        <f aca="false">COUNTIFS('RAID Log'!$B$5:$B$92,A6,'RAID Log'!$K$5:$K$92,"In progress*")</f>
        <v>0</v>
      </c>
      <c r="E6" s="6" t="n">
        <f aca="false">COUNTIFS('RAID Log'!$B$5:$B$92,A6,'RAID Log'!$K$5:$K$92,"Mitigated*")+COUNTIFS('RAID Log'!$B$5:$B$92,A6,'RAID Log'!$K$5:$K$92,"Closed*")+COUNTIFS('RAID Log'!$B$5:$B$92,A6,'RAID Log'!$K$5:$K$92,"Accepted*")</f>
        <v>6</v>
      </c>
      <c r="F6" s="6" t="n">
        <f aca="false">COUNTIFS('RAID Log'!$B$5:$B$92,A6,'RAID Log'!$K$5:$K$92,"Open*",'RAID Log'!$G$5:$G$92,"High")</f>
        <v>1</v>
      </c>
    </row>
    <row r="7" customFormat="false" ht="15" hidden="false" customHeight="false" outlineLevel="0" collapsed="false">
      <c r="A7" s="6" t="s">
        <v>136</v>
      </c>
      <c r="B7" s="6" t="n">
        <f aca="false">COUNTIF('RAID Log'!$B$5:$B$92,A7)</f>
        <v>5</v>
      </c>
      <c r="C7" s="6" t="n">
        <f aca="false">COUNTIFS('RAID Log'!$B$5:$B$92,A7,'RAID Log'!$K$5:$K$92,"Open*")</f>
        <v>5</v>
      </c>
      <c r="D7" s="6" t="n">
        <f aca="false">COUNTIFS('RAID Log'!$B$5:$B$92,A7,'RAID Log'!$K$5:$K$92,"In progress*")</f>
        <v>0</v>
      </c>
      <c r="E7" s="6" t="n">
        <f aca="false">COUNTIFS('RAID Log'!$B$5:$B$92,A7,'RAID Log'!$K$5:$K$92,"Mitigated*")+COUNTIFS('RAID Log'!$B$5:$B$92,A7,'RAID Log'!$K$5:$K$92,"Closed*")+COUNTIFS('RAID Log'!$B$5:$B$92,A7,'RAID Log'!$K$5:$K$92,"Accepted*")</f>
        <v>0</v>
      </c>
      <c r="F7" s="6" t="n">
        <f aca="false">COUNTIFS('RAID Log'!$B$5:$B$92,A7,'RAID Log'!$K$5:$K$92,"Open*",'RAID Log'!$G$5:$G$92,"High")</f>
        <v>3</v>
      </c>
    </row>
    <row r="8" customFormat="false" ht="15" hidden="false" customHeight="false" outlineLevel="0" collapsed="false">
      <c r="A8" s="6" t="s">
        <v>159</v>
      </c>
      <c r="B8" s="6" t="n">
        <f aca="false">COUNTIF('RAID Log'!$B$5:$B$92,A8)</f>
        <v>7</v>
      </c>
      <c r="C8" s="6" t="n">
        <f aca="false">COUNTIFS('RAID Log'!$B$5:$B$92,A8,'RAID Log'!$K$5:$K$92,"Open*")</f>
        <v>7</v>
      </c>
      <c r="D8" s="6" t="n">
        <f aca="false">COUNTIFS('RAID Log'!$B$5:$B$92,A8,'RAID Log'!$K$5:$K$92,"In progress*")</f>
        <v>0</v>
      </c>
      <c r="E8" s="6" t="n">
        <f aca="false">COUNTIFS('RAID Log'!$B$5:$B$92,A8,'RAID Log'!$K$5:$K$92,"Mitigated*")+COUNTIFS('RAID Log'!$B$5:$B$92,A8,'RAID Log'!$K$5:$K$92,"Closed*")+COUNTIFS('RAID Log'!$B$5:$B$92,A8,'RAID Log'!$K$5:$K$92,"Accepted*")</f>
        <v>0</v>
      </c>
      <c r="F8" s="6" t="n">
        <f aca="false">COUNTIFS('RAID Log'!$B$5:$B$92,A8,'RAID Log'!$K$5:$K$92,"Open*",'RAID Log'!$G$5:$G$92,"High")</f>
        <v>2</v>
      </c>
    </row>
    <row r="9" customFormat="false" ht="15" hidden="false" customHeight="false" outlineLevel="0" collapsed="false">
      <c r="A9" s="6" t="s">
        <v>192</v>
      </c>
      <c r="B9" s="6" t="n">
        <f aca="false">COUNTIF('RAID Log'!$B$5:$B$92,A9)</f>
        <v>6</v>
      </c>
      <c r="C9" s="6" t="n">
        <f aca="false">COUNTIFS('RAID Log'!$B$5:$B$92,A9,'RAID Log'!$K$5:$K$92,"Open*")</f>
        <v>6</v>
      </c>
      <c r="D9" s="6" t="n">
        <f aca="false">COUNTIFS('RAID Log'!$B$5:$B$92,A9,'RAID Log'!$K$5:$K$92,"In progress*")</f>
        <v>0</v>
      </c>
      <c r="E9" s="6" t="n">
        <f aca="false">COUNTIFS('RAID Log'!$B$5:$B$92,A9,'RAID Log'!$K$5:$K$92,"Mitigated*")+COUNTIFS('RAID Log'!$B$5:$B$92,A9,'RAID Log'!$K$5:$K$92,"Closed*")+COUNTIFS('RAID Log'!$B$5:$B$92,A9,'RAID Log'!$K$5:$K$92,"Accepted*")</f>
        <v>0</v>
      </c>
      <c r="F9" s="6" t="n">
        <f aca="false">COUNTIFS('RAID Log'!$B$5:$B$92,A9,'RAID Log'!$K$5:$K$92,"Open*",'RAID Log'!$G$5:$G$92,"High")</f>
        <v>2</v>
      </c>
    </row>
    <row r="10" customFormat="false" ht="15" hidden="false" customHeight="false" outlineLevel="0" collapsed="false">
      <c r="A10" s="7" t="s">
        <v>217</v>
      </c>
      <c r="B10" s="7" t="n">
        <f aca="false">SUM(B5:B9)</f>
        <v>38</v>
      </c>
      <c r="C10" s="7" t="n">
        <f aca="false">SUM(C5:C9)</f>
        <v>25</v>
      </c>
      <c r="D10" s="7" t="n">
        <f aca="false">SUM(D5:D9)</f>
        <v>1</v>
      </c>
      <c r="E10" s="7" t="n">
        <f aca="false">SUM(E5:E9)</f>
        <v>8</v>
      </c>
      <c r="F10" s="7" t="n">
        <f aca="false">SUM(F5:F9)</f>
        <v>9</v>
      </c>
    </row>
    <row r="12" customFormat="false" ht="15" hidden="false" customHeight="false" outlineLevel="0" collapsed="false">
      <c r="A12" s="8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221</v>
      </c>
      <c r="B1" s="9"/>
    </row>
    <row r="2" customFormat="false" ht="15" hidden="false" customHeight="false" outlineLevel="0" collapsed="false">
      <c r="A2" s="10" t="s">
        <v>222</v>
      </c>
      <c r="B2" s="9" t="s">
        <v>223</v>
      </c>
    </row>
    <row r="3" customFormat="false" ht="23.85" hidden="false" customHeight="false" outlineLevel="0" collapsed="false">
      <c r="A3" s="10" t="s">
        <v>224</v>
      </c>
      <c r="B3" s="9" t="s">
        <v>225</v>
      </c>
    </row>
    <row r="4" customFormat="false" ht="15" hidden="false" customHeight="false" outlineLevel="0" collapsed="false">
      <c r="A4" s="10" t="s">
        <v>226</v>
      </c>
      <c r="B4" s="9" t="s">
        <v>227</v>
      </c>
    </row>
    <row r="5" customFormat="false" ht="15" hidden="false" customHeight="false" outlineLevel="0" collapsed="false">
      <c r="A5" s="10" t="s">
        <v>8</v>
      </c>
      <c r="B5" s="9" t="s">
        <v>228</v>
      </c>
    </row>
    <row r="6" customFormat="false" ht="15" hidden="false" customHeight="false" outlineLevel="0" collapsed="false">
      <c r="A6" s="10" t="s">
        <v>11</v>
      </c>
      <c r="B6" s="9" t="s">
        <v>229</v>
      </c>
    </row>
    <row r="7" customFormat="false" ht="15" hidden="false" customHeight="false" outlineLevel="0" collapsed="false">
      <c r="A7" s="10" t="s">
        <v>230</v>
      </c>
      <c r="B7" s="9" t="s">
        <v>231</v>
      </c>
    </row>
    <row r="8" customFormat="false" ht="15" hidden="false" customHeight="false" outlineLevel="0" collapsed="false">
      <c r="A8" s="10" t="s">
        <v>232</v>
      </c>
      <c r="B8" s="9" t="s">
        <v>233</v>
      </c>
    </row>
    <row r="9" customFormat="false" ht="15" hidden="false" customHeight="false" outlineLevel="0" collapsed="false">
      <c r="A9" s="10" t="s">
        <v>234</v>
      </c>
      <c r="B9" s="9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2026-10-08T11:27:47Z</dcterms:created>
  <dc:creator>openpyxl</dc:creator>
  <dc:description/>
  <dc:language>en-US</dc:language>
  <cp:lastModifiedBy/>
  <dcterms:modified xsi:type="dcterms:W3CDTF">2026-10-08T11:27:47Z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